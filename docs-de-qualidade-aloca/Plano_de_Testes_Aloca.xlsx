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78fc85f41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Teste" sheetId="1" r:id="R00fb86e70c8b4a3b"/>
    <x:sheet xmlns:r="http://schemas.openxmlformats.org/officeDocument/2006/relationships" name="Resumo" sheetId="2" r:id="Ra76647ebe72d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9f478f09b4022" /><Relationship Type="http://schemas.openxmlformats.org/officeDocument/2006/relationships/theme" Target="/xl/theme/theme1.xml" Id="R0cded79fb5a34872" /><Relationship Type="http://schemas.openxmlformats.org/officeDocument/2006/relationships/sharedStrings" Target="/xl/sharedStrings.xml" Id="Rb0aff7a9fac441cf" /><Relationship Type="http://schemas.openxmlformats.org/officeDocument/2006/relationships/worksheet" Target="/xl/worksheets/sheet1.xml" Id="R00fb86e70c8b4a3b" /><Relationship Type="http://schemas.openxmlformats.org/officeDocument/2006/relationships/worksheet" Target="/xl/worksheets/sheet2.xml" Id="Ra76647ebe72d4350" /></Relationships>
</file>

<file path=xl/tables/table1.xml><?xml version="1.0" encoding="utf-8"?>
<x:table xmlns:x="http://schemas.openxmlformats.org/spreadsheetml/2006/main" id="1" name="CasosTesteAloca" displayName="CasosTesteAloca" ref="A4:F44" headerRowCount="1" totalsRowCount="0" totalsRowShown="0">
  <x:tableColumns count="6">
    <x:tableColumn id="1" name="ID"/>
    <x:tableColumn id="2" name="Caso de teste"/>
    <x:tableColumn id="3" name="Passos / Entrada"/>
    <x:tableColumn id="4" name="Resultado esperado"/>
    <x:tableColumn id="5" name="Resultado obtido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c05aeb27af40a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48" hidden="0" customWidth="1"/>
    <x:col min="5" max="5" width="30" hidden="0" customWidth="1"/>
    <x:col min="6" max="6" width="16" hidden="0" customWidth="1"/>
  </x:cols>
  <x:sheetData>
    <x:row r="1" ht="30" customHeight="1">
      <x:c r="A1" s="5" t="str">
        <x:v>PLANO DE TESTES MANUAIS — ALOCA</x:v>
      </x:c>
      <x:c r="B1" s="5"/>
      <x:c r="C1" s="5"/>
      <x:c r="D1" s="5"/>
      <x:c r="E1" s="5"/>
      <x:c r="F1" s="5"/>
    </x:row>
    <x:row r="2" ht="22" customHeight="1">
      <x:c r="A2" s="12" t="str">
        <x:v>Sistema: Aloca</x:v>
      </x:c>
      <x:c r="B2" s="12" t="str">
        <x:v>Ambiente: Navegador Web</x:v>
      </x:c>
      <x:c r="C2" s="12" t="str">
        <x:v>URL: https://usealoca.tech/</x:v>
      </x:c>
      <x:c r="D2" s="12" t="str"/>
      <x:c r="E2" s="12" t="str"/>
      <x:c r="F2" s="12" t="str"/>
    </x:row>
    <x:row r="4" ht="28" customHeight="1">
      <x:c r="A4" s="20" t="str">
        <x:v>ID</x:v>
      </x:c>
      <x:c r="B4" s="20" t="str">
        <x:v>Caso de teste</x:v>
      </x:c>
      <x:c r="C4" s="20" t="str">
        <x:v>Passos / Entrada</x:v>
      </x:c>
      <x:c r="D4" s="20" t="str">
        <x:v>Resultado esperado</x:v>
      </x:c>
      <x:c r="E4" s="20" t="str">
        <x:v>Resultado obtido</x:v>
      </x:c>
      <x:c r="F4" s="20" t="str">
        <x:v>Status</x:v>
      </x:c>
    </x:row>
    <x:row r="5" ht="42" customHeight="1">
      <x:c r="A5" s="79" t="str">
        <x:v>CT-01</x:v>
      </x:c>
      <x:c r="B5" s="45" t="str">
        <x:v>Cadastro de usuário</x:v>
      </x:c>
      <x:c r="C5" s="45" t="str">
        <x:v>Acessar cadastro → preencher dados válidos → confirmar</x:v>
      </x:c>
      <x:c r="D5" s="45" t="str">
        <x:v>Usuário é cadastrado e pode prosseguir para acesso ao sistema</x:v>
      </x:c>
      <x:c r="E5" s="45" t="str">
        <x:v>—</x:v>
      </x:c>
      <x:c r="F5" s="85" t="str">
        <x:v>⬜ Testar</x:v>
      </x:c>
    </x:row>
    <x:row r="6" ht="42" customHeight="1">
      <x:c r="A6" s="80" t="str">
        <x:v>CT-02</x:v>
      </x:c>
      <x:c r="B6" s="48" t="str">
        <x:v>Login com dados válidos</x:v>
      </x:c>
      <x:c r="C6" s="48" t="str">
        <x:v>Informar e-mail e senha corretos → Entrar</x:v>
      </x:c>
      <x:c r="D6" s="48" t="str">
        <x:v>Usuário acessa o dashboard</x:v>
      </x:c>
      <x:c r="E6" s="48" t="str">
        <x:v>—</x:v>
      </x:c>
      <x:c r="F6" s="86" t="str">
        <x:v>⬜ Testar</x:v>
      </x:c>
    </x:row>
    <x:row r="7" ht="42" customHeight="1">
      <x:c r="A7" s="80" t="str">
        <x:v>CT-03</x:v>
      </x:c>
      <x:c r="B7" s="48" t="str">
        <x:v>Login com senha incorreta</x:v>
      </x:c>
      <x:c r="C7" s="48" t="str">
        <x:v>Informar e-mail válido + senha incorreta → Entrar</x:v>
      </x:c>
      <x:c r="D7" s="48" t="str">
        <x:v>Sistema rejeita o acesso e informa credenciais inválidas</x:v>
      </x:c>
      <x:c r="E7" s="48" t="str">
        <x:v>—</x:v>
      </x:c>
      <x:c r="F7" s="86" t="str">
        <x:v>⬜ Testar</x:v>
      </x:c>
    </x:row>
    <x:row r="8" ht="42" customHeight="1">
      <x:c r="A8" s="80" t="str">
        <x:v>CT-04</x:v>
      </x:c>
      <x:c r="B8" s="48" t="str">
        <x:v>Login com campos vazios</x:v>
      </x:c>
      <x:c r="C8" s="48" t="str">
        <x:v>Deixar e-mail e/ou senha em branco → Entrar</x:v>
      </x:c>
      <x:c r="D8" s="48" t="str">
        <x:v>Sistema impede o login e apresenta validação dos campos obrigatórios</x:v>
      </x:c>
      <x:c r="E8" s="48" t="str">
        <x:v>—</x:v>
      </x:c>
      <x:c r="F8" s="86" t="str">
        <x:v>⬜ Testar</x:v>
      </x:c>
    </x:row>
    <x:row r="9" ht="42" customHeight="1">
      <x:c r="A9" s="80" t="str">
        <x:v>CT-05</x:v>
      </x:c>
      <x:c r="B9" s="48" t="str">
        <x:v>Logout</x:v>
      </x:c>
      <x:c r="C9" s="48" t="str">
        <x:v>Estar autenticado → acionar opção de sair</x:v>
      </x:c>
      <x:c r="D9" s="48" t="str">
        <x:v>Sessão é encerrada e usuário retorna à área pública/login</x:v>
      </x:c>
      <x:c r="E9" s="48" t="str">
        <x:v>—</x:v>
      </x:c>
      <x:c r="F9" s="86" t="str">
        <x:v>⬜ Testar</x:v>
      </x:c>
    </x:row>
    <x:row r="10" ht="42" customHeight="1">
      <x:c r="A10" s="80" t="str">
        <x:v>CT-06</x:v>
      </x:c>
      <x:c r="B10" s="48" t="str">
        <x:v>Proteção após logout</x:v>
      </x:c>
      <x:c r="C10" s="48" t="str">
        <x:v>Realizar logout → tentar acessar diretamente uma rota protegida</x:v>
      </x:c>
      <x:c r="D10" s="48" t="str">
        <x:v>Sistema bloqueia o acesso e redireciona para autenticação</x:v>
      </x:c>
      <x:c r="E10" s="48" t="str">
        <x:v>—</x:v>
      </x:c>
      <x:c r="F10" s="86" t="str">
        <x:v>⬜ Testar</x:v>
      </x:c>
    </x:row>
    <x:row r="11" ht="42" customHeight="1">
      <x:c r="A11" s="80" t="str">
        <x:v>CT-07</x:v>
      </x:c>
      <x:c r="B11" s="48" t="str">
        <x:v>Solicitar recuperação de senha</x:v>
      </x:c>
      <x:c r="C11" s="48" t="str">
        <x:v>Acessar 'Esqueci minha senha' → informar e-mail válido → enviar</x:v>
      </x:c>
      <x:c r="D11" s="48" t="str">
        <x:v>Sistema aceita a solicitação e informa o procedimento de recuperação</x:v>
      </x:c>
      <x:c r="E11" s="48" t="str">
        <x:v>—</x:v>
      </x:c>
      <x:c r="F11" s="86" t="str">
        <x:v>⬜ Testar</x:v>
      </x:c>
    </x:row>
    <x:row r="12" ht="42" customHeight="1">
      <x:c r="A12" s="80" t="str">
        <x:v>CT-08</x:v>
      </x:c>
      <x:c r="B12" s="48" t="str">
        <x:v>Redefinir senha</x:v>
      </x:c>
      <x:c r="C12" s="48" t="str">
        <x:v>Abrir link de recuperação válido → cadastrar nova senha → confirmar</x:v>
      </x:c>
      <x:c r="D12" s="48" t="str">
        <x:v>Senha é atualizada e pode ser usada no próximo login</x:v>
      </x:c>
      <x:c r="E12" s="48" t="str">
        <x:v>—</x:v>
      </x:c>
      <x:c r="F12" s="86" t="str">
        <x:v>⬜ Testar</x:v>
      </x:c>
    </x:row>
    <x:row r="13" ht="42" customHeight="1">
      <x:c r="A13" s="80" t="str">
        <x:v>CT-09</x:v>
      </x:c>
      <x:c r="B13" s="48" t="str">
        <x:v>Dashboard após login</x:v>
      </x:c>
      <x:c r="C13" s="48" t="str">
        <x:v>Realizar login válido</x:v>
      </x:c>
      <x:c r="D13" s="48" t="str">
        <x:v>Dashboard carrega com as principais informações financeiras</x:v>
      </x:c>
      <x:c r="E13" s="48" t="str">
        <x:v>—</x:v>
      </x:c>
      <x:c r="F13" s="86" t="str">
        <x:v>⬜ Testar</x:v>
      </x:c>
    </x:row>
    <x:row r="14" ht="42" customHeight="1">
      <x:c r="A14" s="80" t="str">
        <x:v>CT-10</x:v>
      </x:c>
      <x:c r="B14" s="48" t="str">
        <x:v>Criar uma entrada</x:v>
      </x:c>
      <x:c r="C14" s="48" t="str">
        <x:v>Cadastrar entrada de R$ 500,00 com dados obrigatórios válidos</x:v>
      </x:c>
      <x:c r="D14" s="48" t="str">
        <x:v>Entrada é registrada e os saldos relacionados são atualizados</x:v>
      </x:c>
      <x:c r="E14" s="48" t="str">
        <x:v>—</x:v>
      </x:c>
      <x:c r="F14" s="86" t="str">
        <x:v>⬜ Testar</x:v>
      </x:c>
    </x:row>
    <x:row r="15" ht="42" customHeight="1">
      <x:c r="A15" s="80" t="str">
        <x:v>CT-11</x:v>
      </x:c>
      <x:c r="B15" s="48" t="str">
        <x:v>Criar uma saída</x:v>
      </x:c>
      <x:c r="C15" s="48" t="str">
        <x:v>Cadastrar saída de R$ 100,00 com dados obrigatórios válidos</x:v>
      </x:c>
      <x:c r="D15" s="48" t="str">
        <x:v>Saída é registrada e os saldos relacionados são atualizados</x:v>
      </x:c>
      <x:c r="E15" s="48" t="str">
        <x:v>—</x:v>
      </x:c>
      <x:c r="F15" s="86" t="str">
        <x:v>⬜ Testar</x:v>
      </x:c>
    </x:row>
    <x:row r="16" ht="42" customHeight="1">
      <x:c r="A16" s="80" t="str">
        <x:v>CT-12</x:v>
      </x:c>
      <x:c r="B16" s="48" t="str">
        <x:v>Campo obrigatório vazio</x:v>
      </x:c>
      <x:c r="C16" s="48" t="str">
        <x:v>Tentar cadastrar movimentação sem informar o valor</x:v>
      </x:c>
      <x:c r="D16" s="48" t="str">
        <x:v>Sistema impede o cadastro e apresenta validação</x:v>
      </x:c>
      <x:c r="E16" s="48" t="str">
        <x:v>—</x:v>
      </x:c>
      <x:c r="F16" s="86" t="str">
        <x:v>⬜ Testar</x:v>
      </x:c>
    </x:row>
    <x:row r="17" ht="42" customHeight="1">
      <x:c r="A17" s="80" t="str">
        <x:v>CT-13</x:v>
      </x:c>
      <x:c r="B17" s="48" t="str">
        <x:v>Valor inválido em movimentação</x:v>
      </x:c>
      <x:c r="C17" s="48" t="str">
        <x:v>Informar valor inválido/zero em campo que exige valor positivo → salvar</x:v>
      </x:c>
      <x:c r="D17" s="48" t="str">
        <x:v>Sistema rejeita o valor e não cria a movimentação</x:v>
      </x:c>
      <x:c r="E17" s="48" t="str">
        <x:v>—</x:v>
      </x:c>
      <x:c r="F17" s="86" t="str">
        <x:v>⬜ Testar</x:v>
      </x:c>
    </x:row>
    <x:row r="18" ht="42" customHeight="1">
      <x:c r="A18" s="80" t="str">
        <x:v>CT-14</x:v>
      </x:c>
      <x:c r="B18" s="48" t="str">
        <x:v>Editar movimentação</x:v>
      </x:c>
      <x:c r="C18" s="48" t="str">
        <x:v>Selecionar movimentação editável → alterar dados → salvar</x:v>
      </x:c>
      <x:c r="D18" s="48" t="str">
        <x:v>Alterações são persistidas e os valores relacionados são recalculados</x:v>
      </x:c>
      <x:c r="E18" s="48" t="str">
        <x:v>—</x:v>
      </x:c>
      <x:c r="F18" s="86" t="str">
        <x:v>⬜ Testar</x:v>
      </x:c>
    </x:row>
    <x:row r="19" ht="42" customHeight="1">
      <x:c r="A19" s="80" t="str">
        <x:v>CT-15</x:v>
      </x:c>
      <x:c r="B19" s="48" t="str">
        <x:v>Excluir movimentação</x:v>
      </x:c>
      <x:c r="C19" s="48" t="str">
        <x:v>Selecionar movimentação permitida → excluir → confirmar</x:v>
      </x:c>
      <x:c r="D19" s="48" t="str">
        <x:v>Movimentação é removida e os saldos são atualizados corretamente</x:v>
      </x:c>
      <x:c r="E19" s="48" t="str">
        <x:v>—</x:v>
      </x:c>
      <x:c r="F19" s="86" t="str">
        <x:v>⬜ Testar</x:v>
      </x:c>
    </x:row>
    <x:row r="20" ht="42" customHeight="1">
      <x:c r="A20" s="80" t="str">
        <x:v>CT-16</x:v>
      </x:c>
      <x:c r="B20" s="48" t="str">
        <x:v>Criar compromisso</x:v>
      </x:c>
      <x:c r="C20" s="48" t="str">
        <x:v>Cadastrar compromisso com descrição, valor e vencimento válidos</x:v>
      </x:c>
      <x:c r="D20" s="48" t="str">
        <x:v>Compromisso é registrado e aparece na listagem correspondente</x:v>
      </x:c>
      <x:c r="E20" s="48" t="str">
        <x:v>—</x:v>
      </x:c>
      <x:c r="F20" s="86" t="str">
        <x:v>⬜ Testar</x:v>
      </x:c>
    </x:row>
    <x:row r="21" ht="42" customHeight="1">
      <x:c r="A21" s="80" t="str">
        <x:v>CT-17</x:v>
      </x:c>
      <x:c r="B21" s="48" t="str">
        <x:v>Criar compromisso parcelado</x:v>
      </x:c>
      <x:c r="C21" s="48" t="str">
        <x:v>Cadastrar compromisso → selecionar parcelamento → definir quantidade de parcelas</x:v>
      </x:c>
      <x:c r="D21" s="48" t="str">
        <x:v>Sistema cria e apresenta as parcelas conforme configuração</x:v>
      </x:c>
      <x:c r="E21" s="48" t="str">
        <x:v>—</x:v>
      </x:c>
      <x:c r="F21" s="86" t="str">
        <x:v>⬜ Testar</x:v>
      </x:c>
    </x:row>
    <x:row r="22" ht="42" customHeight="1">
      <x:c r="A22" s="80" t="str">
        <x:v>CT-18</x:v>
      </x:c>
      <x:c r="B22" s="48" t="str">
        <x:v>Criar compromisso recorrente</x:v>
      </x:c>
      <x:c r="C22" s="48" t="str">
        <x:v>Cadastrar compromisso → selecionar recorrência → salvar</x:v>
      </x:c>
      <x:c r="D22" s="48" t="str">
        <x:v>Compromisso recorrente é criado conforme periodicidade definida</x:v>
      </x:c>
      <x:c r="E22" s="48" t="str">
        <x:v>—</x:v>
      </x:c>
      <x:c r="F22" s="86" t="str">
        <x:v>⬜ Testar</x:v>
      </x:c>
    </x:row>
    <x:row r="23" ht="42" customHeight="1">
      <x:c r="A23" s="80" t="str">
        <x:v>CT-19</x:v>
      </x:c>
      <x:c r="B23" s="48" t="str">
        <x:v>Alocar valor a compromisso</x:v>
      </x:c>
      <x:c r="C23" s="48" t="str">
        <x:v>Selecionar compromisso pendente → alocar valor disponível</x:v>
      </x:c>
      <x:c r="D23" s="48" t="str">
        <x:v>Valor é reservado/alocado e indicadores financeiros são atualizados</x:v>
      </x:c>
      <x:c r="E23" s="48" t="str">
        <x:v>—</x:v>
      </x:c>
      <x:c r="F23" s="86" t="str">
        <x:v>⬜ Testar</x:v>
      </x:c>
    </x:row>
    <x:row r="24" ht="42" customHeight="1">
      <x:c r="A24" s="80" t="str">
        <x:v>CT-20</x:v>
      </x:c>
      <x:c r="B24" s="48" t="str">
        <x:v>Registrar pagamento</x:v>
      </x:c>
      <x:c r="C24" s="48" t="str">
        <x:v>Selecionar compromisso com valor devido → registrar pagamento</x:v>
      </x:c>
      <x:c r="D24" s="48" t="str">
        <x:v>Pagamento é registrado e o estado do compromisso é atualizado</x:v>
      </x:c>
      <x:c r="E24" s="48" t="str">
        <x:v>—</x:v>
      </x:c>
      <x:c r="F24" s="86" t="str">
        <x:v>⬜ Testar</x:v>
      </x:c>
    </x:row>
    <x:row r="25" ht="42" customHeight="1">
      <x:c r="A25" s="80" t="str">
        <x:v>CT-21</x:v>
      </x:c>
      <x:c r="B25" s="48" t="str">
        <x:v>Exibir compromisso vencido</x:v>
      </x:c>
      <x:c r="C25" s="48" t="str">
        <x:v>Possuir compromisso pendente com vencimento anterior à data atual → abrir listagem</x:v>
      </x:c>
      <x:c r="D25" s="48" t="str">
        <x:v>Sistema identifica corretamente o compromisso como vencido</x:v>
      </x:c>
      <x:c r="E25" s="48" t="str">
        <x:v>—</x:v>
      </x:c>
      <x:c r="F25" s="86" t="str">
        <x:v>⬜ Testar</x:v>
      </x:c>
    </x:row>
    <x:row r="26" ht="42" customHeight="1">
      <x:c r="A26" s="80" t="str">
        <x:v>CT-22</x:v>
      </x:c>
      <x:c r="B26" s="48" t="str">
        <x:v>Criar movimentação recorrente</x:v>
      </x:c>
      <x:c r="C26" s="48" t="str">
        <x:v>Cadastrar entrada/saída → ativar recorrência → definir periodicidade</x:v>
      </x:c>
      <x:c r="D26" s="48" t="str">
        <x:v>Recorrência é salva e apresentada corretamente</x:v>
      </x:c>
      <x:c r="E26" s="48" t="str">
        <x:v>—</x:v>
      </x:c>
      <x:c r="F26" s="86" t="str">
        <x:v>⬜ Testar</x:v>
      </x:c>
    </x:row>
    <x:row r="27" ht="42" customHeight="1">
      <x:c r="A27" s="80" t="str">
        <x:v>CT-23</x:v>
      </x:c>
      <x:c r="B27" s="48" t="str">
        <x:v>Pausar recorrência</x:v>
      </x:c>
      <x:c r="C27" s="48" t="str">
        <x:v>Selecionar recorrência ativa → Pausar</x:v>
      </x:c>
      <x:c r="D27" s="48" t="str">
        <x:v>Recorrência fica pausada e novas ocorrências não são tratadas como ativas</x:v>
      </x:c>
      <x:c r="E27" s="48" t="str">
        <x:v>—</x:v>
      </x:c>
      <x:c r="F27" s="86" t="str">
        <x:v>⬜ Testar</x:v>
      </x:c>
    </x:row>
    <x:row r="28" ht="42" customHeight="1">
      <x:c r="A28" s="80" t="str">
        <x:v>CT-24</x:v>
      </x:c>
      <x:c r="B28" s="48" t="str">
        <x:v>Reativar recorrência</x:v>
      </x:c>
      <x:c r="C28" s="48" t="str">
        <x:v>Selecionar recorrência pausada → Reativar</x:v>
      </x:c>
      <x:c r="D28" s="48" t="str">
        <x:v>Recorrência volta ao estado ativo</x:v>
      </x:c>
      <x:c r="E28" s="48" t="str">
        <x:v>—</x:v>
      </x:c>
      <x:c r="F28" s="86" t="str">
        <x:v>⬜ Testar</x:v>
      </x:c>
    </x:row>
    <x:row r="29" ht="42" customHeight="1">
      <x:c r="A29" s="80" t="str">
        <x:v>CT-25</x:v>
      </x:c>
      <x:c r="B29" s="48" t="str">
        <x:v>Resumo mensal</x:v>
      </x:c>
      <x:c r="C29" s="48" t="str">
        <x:v>Selecionar um mês com compromissos e movimentações cadastrados</x:v>
      </x:c>
      <x:c r="D29" s="48" t="str">
        <x:v>Resumo apresenta os dados financeiros correspondentes ao período selecionado</x:v>
      </x:c>
      <x:c r="E29" s="48" t="str">
        <x:v>—</x:v>
      </x:c>
      <x:c r="F29" s="86" t="str">
        <x:v>⬜ Testar</x:v>
      </x:c>
    </x:row>
    <x:row r="30" ht="42" customHeight="1">
      <x:c r="A30" s="80" t="str">
        <x:v>CT-26</x:v>
      </x:c>
      <x:c r="B30" s="48" t="str">
        <x:v>Cobertura mensal</x:v>
      </x:c>
      <x:c r="C30" s="48" t="str">
        <x:v>Selecionar mês → comparar valor alocado, compromissos e percentual exibido</x:v>
      </x:c>
      <x:c r="D30" s="48" t="str">
        <x:v>Percentual de cobertura corresponde aos valores usados no cálculo</x:v>
      </x:c>
      <x:c r="E30" s="48" t="str">
        <x:v>—</x:v>
      </x:c>
      <x:c r="F30" s="86" t="str">
        <x:v>⬜ Testar</x:v>
      </x:c>
    </x:row>
    <x:row r="31" ht="42" customHeight="1">
      <x:c r="A31" s="80" t="str">
        <x:v>CT-27</x:v>
      </x:c>
      <x:c r="B31" s="48" t="str">
        <x:v>Consistência do detalhamento mensal</x:v>
      </x:c>
      <x:c r="C31" s="48" t="str">
        <x:v>Somar compromissos exibidos no detalhamento → comparar com total mensal</x:v>
      </x:c>
      <x:c r="D31" s="48" t="str">
        <x:v>Total apresentado corresponde à soma dos itens considerados no período</x:v>
      </x:c>
      <x:c r="E31" s="48" t="str">
        <x:v>—</x:v>
      </x:c>
      <x:c r="F31" s="86" t="str">
        <x:v>⬜ Testar</x:v>
      </x:c>
    </x:row>
    <x:row r="32" ht="42" customHeight="1">
      <x:c r="A32" s="80" t="str">
        <x:v>CT-28</x:v>
      </x:c>
      <x:c r="B32" s="48" t="str">
        <x:v>Previsão financeira</x:v>
      </x:c>
      <x:c r="C32" s="48" t="str">
        <x:v>Acessar Previsões → selecionar período disponível</x:v>
      </x:c>
      <x:c r="D32" s="48" t="str">
        <x:v>Sistema apresenta projeção coerente com saldo, entradas, saídas e compromissos futuros</x:v>
      </x:c>
      <x:c r="E32" s="48" t="str">
        <x:v>—</x:v>
      </x:c>
      <x:c r="F32" s="86" t="str">
        <x:v>⬜ Testar</x:v>
      </x:c>
    </x:row>
    <x:row r="33" ht="42" customHeight="1">
      <x:c r="A33" s="80" t="str">
        <x:v>CT-29</x:v>
      </x:c>
      <x:c r="B33" s="48" t="str">
        <x:v>Editar perfil</x:v>
      </x:c>
      <x:c r="C33" s="48" t="str">
        <x:v>Acessar Perfil → alterar dado permitido → salvar</x:v>
      </x:c>
      <x:c r="D33" s="48" t="str">
        <x:v>Alteração é salva e permanece após recarregar a página</x:v>
      </x:c>
      <x:c r="E33" s="48" t="str">
        <x:v>—</x:v>
      </x:c>
      <x:c r="F33" s="86" t="str">
        <x:v>⬜ Testar</x:v>
      </x:c>
    </x:row>
    <x:row r="34" ht="42" customHeight="1">
      <x:c r="A34" s="80" t="str">
        <x:v>CT-30</x:v>
      </x:c>
      <x:c r="B34" s="48" t="str">
        <x:v>Alterar foto de perfil</x:v>
      </x:c>
      <x:c r="C34" s="48" t="str">
        <x:v>Acessar Perfil → selecionar imagem válida → salvar</x:v>
      </x:c>
      <x:c r="D34" s="48" t="str">
        <x:v>Nova foto é exibida e permanece após atualizar a página</x:v>
      </x:c>
      <x:c r="E34" s="48" t="str">
        <x:v>—</x:v>
      </x:c>
      <x:c r="F34" s="86" t="str">
        <x:v>⬜ Testar</x:v>
      </x:c>
    </x:row>
    <x:row r="35" ht="42" customHeight="1">
      <x:c r="A35" s="80" t="str">
        <x:v>CT-31</x:v>
      </x:c>
      <x:c r="B35" s="48" t="str">
        <x:v>Alternar tema</x:v>
      </x:c>
      <x:c r="C35" s="48" t="str">
        <x:v>Alternar entre os temas disponíveis da aplicação</x:v>
      </x:c>
      <x:c r="D35" s="48" t="str">
        <x:v>Interface muda de tema sem quebrar layout ou legibilidade</x:v>
      </x:c>
      <x:c r="E35" s="48" t="str">
        <x:v>—</x:v>
      </x:c>
      <x:c r="F35" s="86" t="str">
        <x:v>⬜ Testar</x:v>
      </x:c>
    </x:row>
    <x:row r="36" ht="42" customHeight="1">
      <x:c r="A36" s="80" t="str">
        <x:v>CT-32</x:v>
      </x:c>
      <x:c r="B36" s="48" t="str">
        <x:v>Navegação pelos menus</x:v>
      </x:c>
      <x:c r="C36" s="48" t="str">
        <x:v>Acessar cada item principal de navegação</x:v>
      </x:c>
      <x:c r="D36" s="48" t="str">
        <x:v>Cada item direciona para a página correta sem erro 404</x:v>
      </x:c>
      <x:c r="E36" s="48" t="str">
        <x:v>—</x:v>
      </x:c>
      <x:c r="F36" s="86" t="str">
        <x:v>⬜ Testar</x:v>
      </x:c>
    </x:row>
    <x:row r="37" ht="42" customHeight="1">
      <x:c r="A37" s="80" t="str">
        <x:v>CT-33</x:v>
      </x:c>
      <x:c r="B37" s="48" t="str">
        <x:v>Responsividade mobile</x:v>
      </x:c>
      <x:c r="C37" s="48" t="str">
        <x:v>Abrir o sistema em largura de celular (ex.: 390 px)</x:v>
      </x:c>
      <x:c r="D37" s="48" t="str">
        <x:v>Conteúdo permanece utilizável, sem sobreposição ou overflow horizontal</x:v>
      </x:c>
      <x:c r="E37" s="48" t="str">
        <x:v>—</x:v>
      </x:c>
      <x:c r="F37" s="86" t="str">
        <x:v>⬜ Testar</x:v>
      </x:c>
    </x:row>
    <x:row r="38" ht="42" customHeight="1">
      <x:c r="A38" s="80" t="str">
        <x:v>CT-34</x:v>
      </x:c>
      <x:c r="B38" s="48" t="str">
        <x:v>Formulário no mobile</x:v>
      </x:c>
      <x:c r="C38" s="48" t="str">
        <x:v>Em largura de celular → abrir formulário de criação/edição → preencher campos</x:v>
      </x:c>
      <x:c r="D38" s="48" t="str">
        <x:v>Formulário permanece estável, legível e utilizável durante a interação</x:v>
      </x:c>
      <x:c r="E38" s="48" t="str">
        <x:v>—</x:v>
      </x:c>
      <x:c r="F38" s="86" t="str">
        <x:v>⬜ Testar</x:v>
      </x:c>
    </x:row>
    <x:row r="39" ht="42" customHeight="1">
      <x:c r="A39" s="80" t="str">
        <x:v>CT-35</x:v>
      </x:c>
      <x:c r="B39" s="48" t="str">
        <x:v>Responsividade tablet</x:v>
      </x:c>
      <x:c r="C39" s="48" t="str">
        <x:v>Abrir o sistema em largura de tablet (ex.: 768 px)</x:v>
      </x:c>
      <x:c r="D39" s="48" t="str">
        <x:v>Layout se adapta sem cortes, sobreposições ou perda de funcionalidade</x:v>
      </x:c>
      <x:c r="E39" s="48" t="str">
        <x:v>—</x:v>
      </x:c>
      <x:c r="F39" s="86" t="str">
        <x:v>⬜ Testar</x:v>
      </x:c>
    </x:row>
    <x:row r="40" ht="42" customHeight="1">
      <x:c r="A40" s="80" t="str">
        <x:v>CT-36</x:v>
      </x:c>
      <x:c r="B40" s="48" t="str">
        <x:v>Persistência após atualização</x:v>
      </x:c>
      <x:c r="C40" s="48" t="str">
        <x:v>Criar/alterar dado → atualizar a página</x:v>
      </x:c>
      <x:c r="D40" s="48" t="str">
        <x:v>Dado persistido continua disponível e correto após o reload</x:v>
      </x:c>
      <x:c r="E40" s="48" t="str">
        <x:v>—</x:v>
      </x:c>
      <x:c r="F40" s="86" t="str">
        <x:v>⬜ Testar</x:v>
      </x:c>
    </x:row>
    <x:row r="41" ht="42" customHeight="1">
      <x:c r="A41" s="80" t="str">
        <x:v>CT-37</x:v>
      </x:c>
      <x:c r="B41" s="48" t="str">
        <x:v>Formato monetário</x:v>
      </x:c>
      <x:c r="C41" s="48" t="str">
        <x:v>Visualizar dashboard, movimentações e compromissos</x:v>
      </x:c>
      <x:c r="D41" s="48" t="str">
        <x:v>Valores financeiros são exibidos de forma consistente em reais (R$)</x:v>
      </x:c>
      <x:c r="E41" s="48" t="str">
        <x:v>—</x:v>
      </x:c>
      <x:c r="F41" s="86" t="str">
        <x:v>⬜ Testar</x:v>
      </x:c>
    </x:row>
    <x:row r="42" ht="42" customHeight="1">
      <x:c r="A42" s="80" t="str">
        <x:v>CT-38</x:v>
      </x:c>
      <x:c r="B42" s="48" t="str">
        <x:v>Mensagens de sucesso</x:v>
      </x:c>
      <x:c r="C42" s="48" t="str">
        <x:v>Concluir operação válida, como cadastrar uma entrada</x:v>
      </x:c>
      <x:c r="D42" s="48" t="str">
        <x:v>Sistema apresenta feedback claro de sucesso quando aplicável</x:v>
      </x:c>
      <x:c r="E42" s="48" t="str">
        <x:v>—</x:v>
      </x:c>
      <x:c r="F42" s="86" t="str">
        <x:v>⬜ Testar</x:v>
      </x:c>
    </x:row>
    <x:row r="43" ht="42" customHeight="1">
      <x:c r="A43" s="80" t="str">
        <x:v>CT-39</x:v>
      </x:c>
      <x:c r="B43" s="48" t="str">
        <x:v>Mensagens de erro</x:v>
      </x:c>
      <x:c r="C43" s="48" t="str">
        <x:v>Provocar erro de validação em formulário</x:v>
      </x:c>
      <x:c r="D43" s="48" t="str">
        <x:v>Sistema apresenta mensagem clara e compreensível sem perder os dados necessários</x:v>
      </x:c>
      <x:c r="E43" s="48" t="str">
        <x:v>—</x:v>
      </x:c>
      <x:c r="F43" s="86" t="str">
        <x:v>⬜ Testar</x:v>
      </x:c>
    </x:row>
    <x:row r="44" ht="42" customHeight="1">
      <x:c r="A44" s="81" t="str">
        <x:v>CT-40</x:v>
      </x:c>
      <x:c r="B44" s="51" t="str">
        <x:v>Duplo envio de formulário</x:v>
      </x:c>
      <x:c r="C44" s="51" t="str">
        <x:v>Clicar repetidamente no botão de confirmação durante uma operação</x:v>
      </x:c>
      <x:c r="D44" s="51" t="str">
        <x:v>Sistema evita criação duplicada da mesma operação</x:v>
      </x:c>
      <x:c r="E44" s="51" t="str">
        <x:v>—</x:v>
      </x:c>
      <x:c r="F44" s="87" t="str">
        <x:v>⬜ Testar</x:v>
      </x:c>
    </x:row>
  </x:sheetData>
  <x:mergeCells>
    <x:mergeCell ref="A1:F1"/>
  </x:mergeCells>
  <x:conditionalFormatting sqref="F5:F44">
    <x:cfRule type="expression" dxfId="0" priority="1">
      <x:formula>F5="✅ Passou"</x:formula>
    </x:cfRule>
    <x:cfRule type="expression" dxfId="1" priority="2">
      <x:formula>F5="❌ Falhou"</x:formula>
    </x:cfRule>
    <x:cfRule type="expression" dxfId="2" priority="3">
      <x:formula>F5="⚠️ Bloqueado"</x:formula>
    </x:cfRule>
    <x:cfRule type="expression" dxfId="3" priority="4">
      <x:formula>F5="⬜ Testar"</x:formula>
    </x:cfRule>
  </x:conditionalFormatting>
  <x:dataValidations count="1">
    <x:dataValidation type="list" sqref="F5:F44">
      <x:formula1>"⬜ Testar,✅ Passou,❌ Falhou,⚠️ 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c05aeb27af40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92" t="str">
        <x:v>RESUMO DE EXECUÇÃO — ALOCA</x:v>
      </x:c>
      <x:c r="B1" s="92"/>
      <x:c r="C1" s="92"/>
      <x:c r="D1" s="92"/>
    </x:row>
    <x:row r="3">
      <x:c r="A3" s="19" t="str">
        <x:v>Indicador</x:v>
      </x:c>
      <x:c r="B3" s="19" t="str">
        <x:v>Quantidade</x:v>
      </x:c>
    </x:row>
    <x:row r="4">
      <x:c r="A4" s="39" t="str">
        <x:v>Total de casos</x:v>
      </x:c>
      <x:c r="B4" s="39" t="n">
        <x:v>40</x:v>
      </x:c>
    </x:row>
    <x:row r="5">
      <x:c r="A5" s="39" t="str">
        <x:v>Passou</x:v>
      </x:c>
      <x:c r="B5" s="39" t="n">
        <x:f>COUNTIF('Casos de Teste'!F5:F44,"✅ Passou")</x:f>
        <x:v>0</x:v>
      </x:c>
    </x:row>
    <x:row r="6">
      <x:c r="A6" s="39" t="str">
        <x:v>Falhou</x:v>
      </x:c>
      <x:c r="B6" s="39" t="n">
        <x:f>COUNTIF('Casos de Teste'!F5:F44,"❌ Falhou")</x:f>
        <x:v>0</x:v>
      </x:c>
    </x:row>
    <x:row r="7">
      <x:c r="A7" s="39" t="str">
        <x:v>A testar</x:v>
      </x:c>
      <x:c r="B7" s="39" t="n">
        <x:f>COUNTIF('Casos de Teste'!F5:F44,"⬜ Testar")</x:f>
        <x:v>40</x:v>
      </x:c>
    </x:row>
  </x:sheetData>
  <x:mergeCells>
    <x:mergeCell ref="A1:D1"/>
  </x:mergeCells>
  <x:pageMargins left="0.7" right="0.7" top="0.75" bottom="0.75" header="0.3" footer="0.3"/>
</x:worksheet>
</file>